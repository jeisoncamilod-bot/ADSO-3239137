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SULTA" sheetId="1" state="visible" r:id="rId1"/>
    <sheet xmlns:r="http://schemas.openxmlformats.org/officeDocument/2006/relationships" name="CONTINENTE" sheetId="2" state="visible" r:id="rId2"/>
    <sheet xmlns:r="http://schemas.openxmlformats.org/officeDocument/2006/relationships" name="PAIS" sheetId="3" state="visible" r:id="rId3"/>
    <sheet xmlns:r="http://schemas.openxmlformats.org/officeDocument/2006/relationships" name="DEPARTAMENTO" sheetId="4" state="visible" r:id="rId4"/>
    <sheet xmlns:r="http://schemas.openxmlformats.org/officeDocument/2006/relationships" name="MUNICIPIO" sheetId="5" state="visible" r:id="rId5"/>
    <sheet xmlns:r="http://schemas.openxmlformats.org/officeDocument/2006/relationships" name="BARRIO" sheetId="6" state="visible" r:id="rId6"/>
    <sheet xmlns:r="http://schemas.openxmlformats.org/officeDocument/2006/relationships" name="PRODUCTO" sheetId="7" state="visible" r:id="rId7"/>
    <sheet xmlns:r="http://schemas.openxmlformats.org/officeDocument/2006/relationships" name="PEDIDO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  <font>
      <b val="1"/>
      <color rgb="000000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4" borderId="0" pivotButton="0" quotePrefix="0" xfId="0"/>
    <xf numFmtId="0" fontId="3" fillId="5" borderId="0" pivotButton="0" quotePrefix="0" xfId="0"/>
    <xf numFmtId="164" fontId="0" fillId="0" borderId="0" pivotButton="0" quotePrefix="0" xfId="0"/>
    <xf numFmtId="0" fontId="0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B3" authorId="0" shapeId="0">
      <text>
        <t>Use la lista desplegable para elegir un pedido.</t>
      </text>
    </comment>
  </commentList>
</comments>
</file>

<file path=xl/tables/table1.xml><?xml version="1.0" encoding="utf-8"?>
<table xmlns="http://schemas.openxmlformats.org/spreadsheetml/2006/main" id="1" name="T_CONTINENTE" displayName="T_CONTINENTE" ref="A1:C4" headerRowCount="1">
  <autoFilter ref="A1:C4"/>
  <tableColumns count="3">
    <tableColumn id="1" name="codigo"/>
    <tableColumn id="2" name="nombre"/>
    <tableColumn id="3" name="descripcion"/>
  </tableColumns>
  <tableStyleInfo name="TableStyleMedium9" showRowStripes="1"/>
</table>
</file>

<file path=xl/tables/table2.xml><?xml version="1.0" encoding="utf-8"?>
<table xmlns="http://schemas.openxmlformats.org/spreadsheetml/2006/main" id="2" name="T_PAIS" displayName="T_PAIS" ref="A1:D5" headerRowCount="1">
  <autoFilter ref="A1:D5"/>
  <tableColumns count="4">
    <tableColumn id="1" name="codigo"/>
    <tableColumn id="2" name="nombre"/>
    <tableColumn id="3" name="descripcion"/>
    <tableColumn id="4" name="continente_id"/>
  </tableColumns>
  <tableStyleInfo name="TableStyleMedium9" showRowStripes="1"/>
</table>
</file>

<file path=xl/tables/table3.xml><?xml version="1.0" encoding="utf-8"?>
<table xmlns="http://schemas.openxmlformats.org/spreadsheetml/2006/main" id="3" name="T_DEPARTAMENTO" displayName="T_DEPARTAMENTO" ref="A1:D6" headerRowCount="1">
  <autoFilter ref="A1:D6"/>
  <tableColumns count="4">
    <tableColumn id="1" name="codigo"/>
    <tableColumn id="2" name="nombre"/>
    <tableColumn id="3" name="descripcion"/>
    <tableColumn id="4" name="pais_id"/>
  </tableColumns>
  <tableStyleInfo name="TableStyleMedium9" showRowStripes="1"/>
</table>
</file>

<file path=xl/tables/table4.xml><?xml version="1.0" encoding="utf-8"?>
<table xmlns="http://schemas.openxmlformats.org/spreadsheetml/2006/main" id="4" name="T_MUNICIPIO" displayName="T_MUNICIPIO" ref="A1:D8" headerRowCount="1">
  <autoFilter ref="A1:D8"/>
  <tableColumns count="4">
    <tableColumn id="1" name="codigo"/>
    <tableColumn id="2" name="nombre"/>
    <tableColumn id="3" name="descripcion"/>
    <tableColumn id="4" name="departamento_id"/>
  </tableColumns>
  <tableStyleInfo name="TableStyleMedium9" showRowStripes="1"/>
</table>
</file>

<file path=xl/tables/table5.xml><?xml version="1.0" encoding="utf-8"?>
<table xmlns="http://schemas.openxmlformats.org/spreadsheetml/2006/main" id="5" name="T_BARRIO" displayName="T_BARRIO" ref="A1:D8" headerRowCount="1">
  <autoFilter ref="A1:D8"/>
  <tableColumns count="4">
    <tableColumn id="1" name="codigo"/>
    <tableColumn id="2" name="nombre"/>
    <tableColumn id="3" name="descripcion"/>
    <tableColumn id="4" name="municipio_id"/>
  </tableColumns>
  <tableStyleInfo name="TableStyleMedium9" showRowStripes="1"/>
</table>
</file>

<file path=xl/tables/table6.xml><?xml version="1.0" encoding="utf-8"?>
<table xmlns="http://schemas.openxmlformats.org/spreadsheetml/2006/main" id="6" name="T_PRODUCTO" displayName="T_PRODUCTO" ref="A1:C9" headerRowCount="1">
  <autoFilter ref="A1:C9"/>
  <tableColumns count="3">
    <tableColumn id="1" name="codigo"/>
    <tableColumn id="2" name="nombre"/>
    <tableColumn id="3" name="precio"/>
  </tableColumns>
  <tableStyleInfo name="TableStyleMedium9" showRowStripes="1"/>
</table>
</file>

<file path=xl/tables/table7.xml><?xml version="1.0" encoding="utf-8"?>
<table xmlns="http://schemas.openxmlformats.org/spreadsheetml/2006/main" id="7" name="T_PEDIDO" displayName="T_PEDIDO" ref="A1:E21" headerRowCount="1">
  <autoFilter ref="A1:E21"/>
  <tableColumns count="5">
    <tableColumn id="1" name="codigo"/>
    <tableColumn id="2" name="ciudad_origen"/>
    <tableColumn id="3" name="direccion"/>
    <tableColumn id="4" name="barrio_destino"/>
    <tableColumn id="5" name="producto_codigo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4" customWidth="1" min="4" max="4"/>
  </cols>
  <sheetData>
    <row r="1" ht="22" customHeight="1">
      <c r="A1" s="1" t="inlineStr">
        <is>
          <t>CONSULTA DE PEDIDO (según diagrama)</t>
        </is>
      </c>
    </row>
    <row r="2" ht="22" customHeight="1"/>
    <row r="3" ht="22" customHeight="1">
      <c r="A3" s="2" t="inlineStr">
        <is>
          <t>Seleccione código de pedido:</t>
        </is>
      </c>
      <c r="B3" s="3" t="n">
        <v>20001</v>
      </c>
    </row>
    <row r="4" ht="22" customHeight="1"/>
    <row r="5" ht="22" customHeight="1">
      <c r="A5" s="4" t="inlineStr">
        <is>
          <t>Ciudad origen</t>
        </is>
      </c>
      <c r="B5">
        <f>IFERROR(VLOOKUP($B$3,PEDIDO!$A$2:$E$21,2,FALSE),"")</f>
        <v/>
      </c>
    </row>
    <row r="6" ht="22" customHeight="1">
      <c r="A6" s="4" t="inlineStr">
        <is>
          <t>Dirección</t>
        </is>
      </c>
      <c r="B6">
        <f>IFERROR(VLOOKUP($B$3,PEDIDO!$A$2:$E$21,3,FALSE),"")</f>
        <v/>
      </c>
    </row>
    <row r="7" ht="22" customHeight="1">
      <c r="A7" s="4" t="inlineStr">
        <is>
          <t>Producto</t>
        </is>
      </c>
      <c r="B7">
        <f>IFERROR(VLOOKUP(VLOOKUP($B$3,PEDIDO!$A$2:$E$21,5,FALSE),PRODUCTO!$A$2:$C$9,2,FALSE),"")</f>
        <v/>
      </c>
    </row>
    <row r="8" ht="22" customHeight="1">
      <c r="A8" s="4" t="inlineStr">
        <is>
          <t>Precio producto</t>
        </is>
      </c>
      <c r="B8" s="5">
        <f>IFERROR(VLOOKUP(VLOOKUP($B$3,PEDIDO!$A$2:$E$21,5,FALSE),PRODUCTO!$A$2:$C$9,3,FALSE),"")</f>
        <v/>
      </c>
    </row>
    <row r="9" ht="22" customHeight="1"/>
    <row r="10" ht="22" customHeight="1">
      <c r="A10" s="4" t="inlineStr">
        <is>
          <t>Barrio destino</t>
        </is>
      </c>
      <c r="B10">
        <f>IFERROR(VLOOKUP(VLOOKUP($B$3,PEDIDO!$A$2:$E$21,4,FALSE),BARRIO!$A$2:$D$8,2,FALSE),"")</f>
        <v/>
      </c>
    </row>
    <row r="11" ht="22" customHeight="1">
      <c r="A11" s="4" t="inlineStr">
        <is>
          <t>Municipio destino</t>
        </is>
      </c>
      <c r="B11">
        <f>IFERROR(VLOOKUP(VLOOKUP(VLOOKUP($B$3,PEDIDO!$A$2:$E$21,4,FALSE),BARRIO!$A$2:$D$8,4,FALSE),MUNICIPIO!$A$2:$D$8,2,FALSE),"")</f>
        <v/>
      </c>
    </row>
    <row r="12" ht="22" customHeight="1">
      <c r="A12" s="4" t="inlineStr">
        <is>
          <t>Departamento destino</t>
        </is>
      </c>
      <c r="B12">
        <f>IFERROR(VLOOKUP(VLOOKUP(VLOOKUP(VLOOKUP($B$3,PEDIDO!$A$2:$E$21,4,FALSE),BARRIO!$A$2:$D$8,4,FALSE),MUNICIPIO!$A$2:$D$8,4,FALSE),DEPARTAMENTO!$A$2:$D$6,2,FALSE),"")</f>
        <v/>
      </c>
    </row>
    <row r="13" ht="22" customHeight="1">
      <c r="A13" s="4" t="inlineStr">
        <is>
          <t>País destino</t>
        </is>
      </c>
      <c r="B13">
        <f>IFERROR(VLOOKUP(VLOOKUP(VLOOKUP(VLOOKUP(VLOOKUP($B$3,PEDIDO!$A$2:$E$21,4,FALSE),BARRIO!$A$2:$D$8,4,FALSE),MUNICIPIO!$A$2:$D$8,4,FALSE),DEPARTAMENTO!$A$2:$D$6,4,FALSE),PAIS!$A$2:$D$5,2,FALSE),"")</f>
        <v/>
      </c>
    </row>
    <row r="14" ht="22" customHeight="1">
      <c r="A14" s="4" t="inlineStr">
        <is>
          <t>Continente destino</t>
        </is>
      </c>
      <c r="B14">
        <f>IFERROR(VLOOKUP(VLOOKUP(VLOOKUP(VLOOKUP(VLOOKUP(VLOOKUP($B$3,PEDIDO!$A$2:$E$21,4,FALSE),BARRIO!$A$2:$D$8,4,FALSE),MUNICIPIO!$A$2:$D$8,4,FALSE),DEPARTAMENTO!$A$2:$D$6,4,FALSE),PAIS!$A$2:$D$5,4,FALSE),CONTINENTE!$A$2:$C$4,2,FALSE),"")</f>
        <v/>
      </c>
    </row>
    <row r="15" ht="22" customHeight="1"/>
    <row r="16" ht="60" customHeight="1">
      <c r="A16" s="4" t="inlineStr">
        <is>
          <t>Frase final</t>
        </is>
      </c>
      <c r="B16" s="6">
        <f>IF($B$3="","", "El producto " &amp; B7 &amp; " fue enviado desde " &amp; B5 &amp; " hacia el barrio " &amp; B10 &amp; " en " &amp; B11 &amp; " (" &amp; B13 &amp; ", " &amp; B14 &amp; ").")</f>
        <v/>
      </c>
    </row>
    <row r="17" ht="22" customHeight="1"/>
    <row r="18" ht="22" customHeight="1"/>
    <row r="19" ht="22" customHeight="1"/>
  </sheetData>
  <mergeCells count="2">
    <mergeCell ref="A1:D1"/>
    <mergeCell ref="B16:D18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</cols>
  <sheetData>
    <row r="1" ht="22" customHeight="1">
      <c r="A1" s="7" t="inlineStr">
        <is>
          <t>codigo</t>
        </is>
      </c>
      <c r="B1" s="7" t="inlineStr">
        <is>
          <t>nombre</t>
        </is>
      </c>
      <c r="C1" s="7" t="inlineStr">
        <is>
          <t>descripcion</t>
        </is>
      </c>
    </row>
    <row r="2">
      <c r="A2" t="n">
        <v>1</v>
      </c>
      <c r="B2" t="inlineStr">
        <is>
          <t>América</t>
        </is>
      </c>
      <c r="C2" t="inlineStr">
        <is>
          <t>Continente americano</t>
        </is>
      </c>
    </row>
    <row r="3">
      <c r="A3" t="n">
        <v>2</v>
      </c>
      <c r="B3" t="inlineStr">
        <is>
          <t>Europa</t>
        </is>
      </c>
      <c r="C3" t="inlineStr">
        <is>
          <t>Continente europeo</t>
        </is>
      </c>
    </row>
    <row r="4">
      <c r="A4" t="n">
        <v>3</v>
      </c>
      <c r="B4" t="inlineStr">
        <is>
          <t>Asia</t>
        </is>
      </c>
      <c r="C4" t="inlineStr">
        <is>
          <t>Continente asiático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</cols>
  <sheetData>
    <row r="1" ht="22" customHeight="1">
      <c r="A1" s="7" t="inlineStr">
        <is>
          <t>codigo</t>
        </is>
      </c>
      <c r="B1" s="7" t="inlineStr">
        <is>
          <t>nombre</t>
        </is>
      </c>
      <c r="C1" s="7" t="inlineStr">
        <is>
          <t>descripcion</t>
        </is>
      </c>
      <c r="D1" s="7" t="inlineStr">
        <is>
          <t>continente_id</t>
        </is>
      </c>
    </row>
    <row r="2">
      <c r="A2" t="n">
        <v>11</v>
      </c>
      <c r="B2" t="inlineStr">
        <is>
          <t>Colombia</t>
        </is>
      </c>
      <c r="C2" t="inlineStr">
        <is>
          <t>País suramericano</t>
        </is>
      </c>
      <c r="D2" t="n">
        <v>1</v>
      </c>
    </row>
    <row r="3">
      <c r="A3" t="n">
        <v>12</v>
      </c>
      <c r="B3" t="inlineStr">
        <is>
          <t>México</t>
        </is>
      </c>
      <c r="C3" t="inlineStr">
        <is>
          <t>País norteamericano</t>
        </is>
      </c>
      <c r="D3" t="n">
        <v>1</v>
      </c>
    </row>
    <row r="4">
      <c r="A4" t="n">
        <v>21</v>
      </c>
      <c r="B4" t="inlineStr">
        <is>
          <t>España</t>
        </is>
      </c>
      <c r="C4" t="inlineStr">
        <is>
          <t>País europeo</t>
        </is>
      </c>
      <c r="D4" t="n">
        <v>2</v>
      </c>
    </row>
    <row r="5">
      <c r="A5" t="n">
        <v>31</v>
      </c>
      <c r="B5" t="inlineStr">
        <is>
          <t>Japón</t>
        </is>
      </c>
      <c r="C5" t="inlineStr">
        <is>
          <t>País asiático</t>
        </is>
      </c>
      <c r="D5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12" customWidth="1" min="4" max="4"/>
  </cols>
  <sheetData>
    <row r="1" ht="22" customHeight="1">
      <c r="A1" s="7" t="inlineStr">
        <is>
          <t>codigo</t>
        </is>
      </c>
      <c r="B1" s="7" t="inlineStr">
        <is>
          <t>nombre</t>
        </is>
      </c>
      <c r="C1" s="7" t="inlineStr">
        <is>
          <t>descripcion</t>
        </is>
      </c>
      <c r="D1" s="7" t="inlineStr">
        <is>
          <t>pais_id</t>
        </is>
      </c>
    </row>
    <row r="2">
      <c r="A2" t="n">
        <v>111</v>
      </c>
      <c r="B2" t="inlineStr">
        <is>
          <t>Cundinamarca</t>
        </is>
      </c>
      <c r="C2" t="inlineStr">
        <is>
          <t>Departamento de Colombia</t>
        </is>
      </c>
      <c r="D2" t="n">
        <v>11</v>
      </c>
    </row>
    <row r="3">
      <c r="A3" t="n">
        <v>112</v>
      </c>
      <c r="B3" t="inlineStr">
        <is>
          <t>Antioquia</t>
        </is>
      </c>
      <c r="C3" t="inlineStr">
        <is>
          <t>Departamento de Colombia</t>
        </is>
      </c>
      <c r="D3" t="n">
        <v>11</v>
      </c>
    </row>
    <row r="4">
      <c r="A4" t="n">
        <v>121</v>
      </c>
      <c r="B4" t="inlineStr">
        <is>
          <t>Jalisco</t>
        </is>
      </c>
      <c r="C4" t="inlineStr">
        <is>
          <t>Estado de México</t>
        </is>
      </c>
      <c r="D4" t="n">
        <v>12</v>
      </c>
    </row>
    <row r="5">
      <c r="A5" t="n">
        <v>211</v>
      </c>
      <c r="B5" t="inlineStr">
        <is>
          <t>Madrid</t>
        </is>
      </c>
      <c r="C5" t="inlineStr">
        <is>
          <t>Comunidad de España</t>
        </is>
      </c>
      <c r="D5" t="n">
        <v>21</v>
      </c>
    </row>
    <row r="6">
      <c r="A6" t="n">
        <v>311</v>
      </c>
      <c r="B6" t="inlineStr">
        <is>
          <t>Tokio</t>
        </is>
      </c>
      <c r="C6" t="inlineStr">
        <is>
          <t>Prefectura de Japón</t>
        </is>
      </c>
      <c r="D6" t="n">
        <v>31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</cols>
  <sheetData>
    <row r="1" ht="22" customHeight="1">
      <c r="A1" s="7" t="inlineStr">
        <is>
          <t>codigo</t>
        </is>
      </c>
      <c r="B1" s="7" t="inlineStr">
        <is>
          <t>nombre</t>
        </is>
      </c>
      <c r="C1" s="7" t="inlineStr">
        <is>
          <t>descripcion</t>
        </is>
      </c>
      <c r="D1" s="7" t="inlineStr">
        <is>
          <t>departamento_id</t>
        </is>
      </c>
    </row>
    <row r="2">
      <c r="A2" t="n">
        <v>1111</v>
      </c>
      <c r="B2" t="inlineStr">
        <is>
          <t>Bogotá</t>
        </is>
      </c>
      <c r="C2" t="inlineStr">
        <is>
          <t>Capital</t>
        </is>
      </c>
      <c r="D2" t="n">
        <v>111</v>
      </c>
    </row>
    <row r="3">
      <c r="A3" t="n">
        <v>1112</v>
      </c>
      <c r="B3" t="inlineStr">
        <is>
          <t>Soacha</t>
        </is>
      </c>
      <c r="C3" t="inlineStr">
        <is>
          <t>Ciudad</t>
        </is>
      </c>
      <c r="D3" t="n">
        <v>111</v>
      </c>
    </row>
    <row r="4">
      <c r="A4" t="n">
        <v>1121</v>
      </c>
      <c r="B4" t="inlineStr">
        <is>
          <t>Medellín</t>
        </is>
      </c>
      <c r="C4" t="inlineStr">
        <is>
          <t>Ciudad</t>
        </is>
      </c>
      <c r="D4" t="n">
        <v>112</v>
      </c>
    </row>
    <row r="5">
      <c r="A5" t="n">
        <v>1122</v>
      </c>
      <c r="B5" t="inlineStr">
        <is>
          <t>Envigado</t>
        </is>
      </c>
      <c r="C5" t="inlineStr">
        <is>
          <t>Ciudad</t>
        </is>
      </c>
      <c r="D5" t="n">
        <v>112</v>
      </c>
    </row>
    <row r="6">
      <c r="A6" t="n">
        <v>1211</v>
      </c>
      <c r="B6" t="inlineStr">
        <is>
          <t>Guadalajara</t>
        </is>
      </c>
      <c r="C6" t="inlineStr">
        <is>
          <t>Ciudad</t>
        </is>
      </c>
      <c r="D6" t="n">
        <v>121</v>
      </c>
    </row>
    <row r="7">
      <c r="A7" t="n">
        <v>2111</v>
      </c>
      <c r="B7" t="inlineStr">
        <is>
          <t>Madrid</t>
        </is>
      </c>
      <c r="C7" t="inlineStr">
        <is>
          <t>Capital</t>
        </is>
      </c>
      <c r="D7" t="n">
        <v>211</v>
      </c>
    </row>
    <row r="8">
      <c r="A8" t="n">
        <v>3111</v>
      </c>
      <c r="B8" t="inlineStr">
        <is>
          <t>Shinjuku</t>
        </is>
      </c>
      <c r="C8" t="inlineStr">
        <is>
          <t>Distrito</t>
        </is>
      </c>
      <c r="D8" t="n">
        <v>311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5" customWidth="1" min="4" max="4"/>
  </cols>
  <sheetData>
    <row r="1" ht="22" customHeight="1">
      <c r="A1" s="7" t="inlineStr">
        <is>
          <t>codigo</t>
        </is>
      </c>
      <c r="B1" s="7" t="inlineStr">
        <is>
          <t>nombre</t>
        </is>
      </c>
      <c r="C1" s="7" t="inlineStr">
        <is>
          <t>descripcion</t>
        </is>
      </c>
      <c r="D1" s="7" t="inlineStr">
        <is>
          <t>municipio_id</t>
        </is>
      </c>
    </row>
    <row r="2">
      <c r="A2" t="n">
        <v>11111</v>
      </c>
      <c r="B2" t="inlineStr">
        <is>
          <t>Chapinero</t>
        </is>
      </c>
      <c r="C2" t="inlineStr">
        <is>
          <t>Barrio de Bogotá</t>
        </is>
      </c>
      <c r="D2" t="n">
        <v>1111</v>
      </c>
    </row>
    <row r="3">
      <c r="A3" t="n">
        <v>11112</v>
      </c>
      <c r="B3" t="inlineStr">
        <is>
          <t>Usaquén</t>
        </is>
      </c>
      <c r="C3" t="inlineStr">
        <is>
          <t>Barrio de Bogotá</t>
        </is>
      </c>
      <c r="D3" t="n">
        <v>1111</v>
      </c>
    </row>
    <row r="4">
      <c r="A4" t="n">
        <v>11211</v>
      </c>
      <c r="B4" t="inlineStr">
        <is>
          <t>Centro</t>
        </is>
      </c>
      <c r="C4" t="inlineStr">
        <is>
          <t>Barrio de Medellín</t>
        </is>
      </c>
      <c r="D4" t="n">
        <v>1121</v>
      </c>
    </row>
    <row r="5">
      <c r="A5" t="n">
        <v>11212</v>
      </c>
      <c r="B5" t="inlineStr">
        <is>
          <t>El Poblado</t>
        </is>
      </c>
      <c r="C5" t="inlineStr">
        <is>
          <t>Barrio de Medellín</t>
        </is>
      </c>
      <c r="D5" t="n">
        <v>1121</v>
      </c>
    </row>
    <row r="6">
      <c r="A6" t="n">
        <v>12111</v>
      </c>
      <c r="B6" t="inlineStr">
        <is>
          <t>Americana</t>
        </is>
      </c>
      <c r="C6" t="inlineStr">
        <is>
          <t>Barrio de Guadalajara</t>
        </is>
      </c>
      <c r="D6" t="n">
        <v>1211</v>
      </c>
    </row>
    <row r="7">
      <c r="A7" t="n">
        <v>21111</v>
      </c>
      <c r="B7" t="inlineStr">
        <is>
          <t>Sol</t>
        </is>
      </c>
      <c r="C7" t="inlineStr">
        <is>
          <t>Barrio de Madrid</t>
        </is>
      </c>
      <c r="D7" t="n">
        <v>2111</v>
      </c>
    </row>
    <row r="8">
      <c r="A8" t="n">
        <v>31111</v>
      </c>
      <c r="B8" t="inlineStr">
        <is>
          <t>Kabukicho</t>
        </is>
      </c>
      <c r="C8" t="inlineStr">
        <is>
          <t>Barrio de Shinjuku</t>
        </is>
      </c>
      <c r="D8" t="n">
        <v>3111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 ht="22" customHeight="1">
      <c r="A1" s="7" t="inlineStr">
        <is>
          <t>codigo</t>
        </is>
      </c>
      <c r="B1" s="7" t="inlineStr">
        <is>
          <t>nombre</t>
        </is>
      </c>
      <c r="C1" s="7" t="inlineStr">
        <is>
          <t>precio</t>
        </is>
      </c>
    </row>
    <row r="2">
      <c r="A2" t="n">
        <v>1001</v>
      </c>
      <c r="B2" t="inlineStr">
        <is>
          <t>Shampoo nutritivo</t>
        </is>
      </c>
      <c r="C2" s="5" t="n">
        <v>28500</v>
      </c>
    </row>
    <row r="3">
      <c r="A3" t="n">
        <v>1002</v>
      </c>
      <c r="B3" t="inlineStr">
        <is>
          <t>Protector solar FPS 50</t>
        </is>
      </c>
      <c r="C3" s="5" t="n">
        <v>43900</v>
      </c>
    </row>
    <row r="4">
      <c r="A4" t="n">
        <v>1003</v>
      </c>
      <c r="B4" t="inlineStr">
        <is>
          <t>Sérum facial vitamina C</t>
        </is>
      </c>
      <c r="C4" s="5" t="n">
        <v>57900</v>
      </c>
    </row>
    <row r="5">
      <c r="A5" t="n">
        <v>1004</v>
      </c>
      <c r="B5" t="inlineStr">
        <is>
          <t>Crema hidratante corporal</t>
        </is>
      </c>
      <c r="C5" s="5" t="n">
        <v>24900</v>
      </c>
    </row>
    <row r="6">
      <c r="A6" t="n">
        <v>1005</v>
      </c>
      <c r="B6" t="inlineStr">
        <is>
          <t>Perfume floral</t>
        </is>
      </c>
      <c r="C6" s="5" t="n">
        <v>89900</v>
      </c>
    </row>
    <row r="7">
      <c r="A7" t="n">
        <v>1006</v>
      </c>
      <c r="B7" t="inlineStr">
        <is>
          <t>Jabón facial purificante</t>
        </is>
      </c>
      <c r="C7" s="5" t="n">
        <v>18900</v>
      </c>
    </row>
    <row r="8">
      <c r="A8" t="n">
        <v>1007</v>
      </c>
      <c r="B8" t="inlineStr">
        <is>
          <t>Acondicionador reparador</t>
        </is>
      </c>
      <c r="C8" s="5" t="n">
        <v>26500</v>
      </c>
    </row>
    <row r="9">
      <c r="A9" t="n">
        <v>1008</v>
      </c>
      <c r="B9" t="inlineStr">
        <is>
          <t>Desodorante roll-on</t>
        </is>
      </c>
      <c r="C9" s="5" t="n">
        <v>14900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7" customWidth="1" min="4" max="4"/>
    <col width="18" customWidth="1" min="5" max="5"/>
  </cols>
  <sheetData>
    <row r="1" ht="22" customHeight="1">
      <c r="A1" s="7" t="inlineStr">
        <is>
          <t>codigo</t>
        </is>
      </c>
      <c r="B1" s="7" t="inlineStr">
        <is>
          <t>ciudad_origen</t>
        </is>
      </c>
      <c r="C1" s="7" t="inlineStr">
        <is>
          <t>direccion</t>
        </is>
      </c>
      <c r="D1" s="7" t="inlineStr">
        <is>
          <t>barrio_destino</t>
        </is>
      </c>
      <c r="E1" s="7" t="inlineStr">
        <is>
          <t>producto_codigo</t>
        </is>
      </c>
    </row>
    <row r="2">
      <c r="A2" t="n">
        <v>20001</v>
      </c>
      <c r="B2" t="inlineStr">
        <is>
          <t>Bogotá</t>
        </is>
      </c>
      <c r="C2" t="inlineStr">
        <is>
          <t>Cra 50 #45-10</t>
        </is>
      </c>
      <c r="D2" t="n">
        <v>11211</v>
      </c>
      <c r="E2" t="n">
        <v>1001</v>
      </c>
    </row>
    <row r="3">
      <c r="A3" t="n">
        <v>20002</v>
      </c>
      <c r="B3" t="inlineStr">
        <is>
          <t>Shinjuku</t>
        </is>
      </c>
      <c r="C3" t="inlineStr">
        <is>
          <t>Calle 66 #61-41</t>
        </is>
      </c>
      <c r="D3" t="n">
        <v>11112</v>
      </c>
      <c r="E3" t="n">
        <v>1004</v>
      </c>
    </row>
    <row r="4">
      <c r="A4" t="n">
        <v>20003</v>
      </c>
      <c r="B4" t="inlineStr">
        <is>
          <t>Envigado</t>
        </is>
      </c>
      <c r="C4" t="inlineStr">
        <is>
          <t>Calle 39 #19-6</t>
        </is>
      </c>
      <c r="D4" t="n">
        <v>11111</v>
      </c>
      <c r="E4" t="n">
        <v>1003</v>
      </c>
    </row>
    <row r="5">
      <c r="A5" t="n">
        <v>20004</v>
      </c>
      <c r="B5" t="inlineStr">
        <is>
          <t>Envigado</t>
        </is>
      </c>
      <c r="C5" t="inlineStr">
        <is>
          <t>Calle 58 #79-42</t>
        </is>
      </c>
      <c r="D5" t="n">
        <v>12111</v>
      </c>
      <c r="E5" t="n">
        <v>1001</v>
      </c>
    </row>
    <row r="6">
      <c r="A6" t="n">
        <v>20005</v>
      </c>
      <c r="B6" t="inlineStr">
        <is>
          <t>Bogotá</t>
        </is>
      </c>
      <c r="C6" t="inlineStr">
        <is>
          <t>Calle 107 #68-5</t>
        </is>
      </c>
      <c r="D6" t="n">
        <v>12111</v>
      </c>
      <c r="E6" t="n">
        <v>1003</v>
      </c>
    </row>
    <row r="7">
      <c r="A7" t="n">
        <v>20006</v>
      </c>
      <c r="B7" t="inlineStr">
        <is>
          <t>Soacha</t>
        </is>
      </c>
      <c r="C7" t="inlineStr">
        <is>
          <t>Calle 113 #31-39</t>
        </is>
      </c>
      <c r="D7" t="n">
        <v>11111</v>
      </c>
      <c r="E7" t="n">
        <v>1001</v>
      </c>
    </row>
    <row r="8">
      <c r="A8" t="n">
        <v>20007</v>
      </c>
      <c r="B8" t="inlineStr">
        <is>
          <t>Envigado</t>
        </is>
      </c>
      <c r="C8" t="inlineStr">
        <is>
          <t>Calle 42 #57-38</t>
        </is>
      </c>
      <c r="D8" t="n">
        <v>31111</v>
      </c>
      <c r="E8" t="n">
        <v>1001</v>
      </c>
    </row>
    <row r="9">
      <c r="A9" t="n">
        <v>20008</v>
      </c>
      <c r="B9" t="inlineStr">
        <is>
          <t>Soacha</t>
        </is>
      </c>
      <c r="C9" t="inlineStr">
        <is>
          <t>Calle 82 #38-32</t>
        </is>
      </c>
      <c r="D9" t="n">
        <v>12111</v>
      </c>
      <c r="E9" t="n">
        <v>1004</v>
      </c>
    </row>
    <row r="10">
      <c r="A10" t="n">
        <v>20009</v>
      </c>
      <c r="B10" t="inlineStr">
        <is>
          <t>Bogotá</t>
        </is>
      </c>
      <c r="C10" t="inlineStr">
        <is>
          <t>Calle 59 #36-27</t>
        </is>
      </c>
      <c r="D10" t="n">
        <v>21111</v>
      </c>
      <c r="E10" t="n">
        <v>1001</v>
      </c>
    </row>
    <row r="11">
      <c r="A11" t="n">
        <v>20010</v>
      </c>
      <c r="B11" t="inlineStr">
        <is>
          <t>Medellín</t>
        </is>
      </c>
      <c r="C11" t="inlineStr">
        <is>
          <t>Calle 41 #30-33</t>
        </is>
      </c>
      <c r="D11" t="n">
        <v>21111</v>
      </c>
      <c r="E11" t="n">
        <v>1002</v>
      </c>
    </row>
    <row r="12">
      <c r="A12" t="n">
        <v>20011</v>
      </c>
      <c r="B12" t="inlineStr">
        <is>
          <t>Bogotá</t>
        </is>
      </c>
      <c r="C12" t="inlineStr">
        <is>
          <t>Calle 73 #14-26</t>
        </is>
      </c>
      <c r="D12" t="n">
        <v>11111</v>
      </c>
      <c r="E12" t="n">
        <v>1005</v>
      </c>
    </row>
    <row r="13">
      <c r="A13" t="n">
        <v>20012</v>
      </c>
      <c r="B13" t="inlineStr">
        <is>
          <t>Medellín</t>
        </is>
      </c>
      <c r="C13" t="inlineStr">
        <is>
          <t>Calle 50 #9-2</t>
        </is>
      </c>
      <c r="D13" t="n">
        <v>31111</v>
      </c>
      <c r="E13" t="n">
        <v>1002</v>
      </c>
    </row>
    <row r="14">
      <c r="A14" t="n">
        <v>20013</v>
      </c>
      <c r="B14" t="inlineStr">
        <is>
          <t>Soacha</t>
        </is>
      </c>
      <c r="C14" t="inlineStr">
        <is>
          <t>Calle 119 #7-31</t>
        </is>
      </c>
      <c r="D14" t="n">
        <v>11112</v>
      </c>
      <c r="E14" t="n">
        <v>1001</v>
      </c>
    </row>
    <row r="15">
      <c r="A15" t="n">
        <v>20014</v>
      </c>
      <c r="B15" t="inlineStr">
        <is>
          <t>Envigado</t>
        </is>
      </c>
      <c r="C15" t="inlineStr">
        <is>
          <t>Calle 54 #10-37</t>
        </is>
      </c>
      <c r="D15" t="n">
        <v>21111</v>
      </c>
      <c r="E15" t="n">
        <v>1007</v>
      </c>
    </row>
    <row r="16">
      <c r="A16" t="n">
        <v>20015</v>
      </c>
      <c r="B16" t="inlineStr">
        <is>
          <t>Madrid</t>
        </is>
      </c>
      <c r="C16" t="inlineStr">
        <is>
          <t>Calle 35 #44-6</t>
        </is>
      </c>
      <c r="D16" t="n">
        <v>31111</v>
      </c>
      <c r="E16" t="n">
        <v>1004</v>
      </c>
    </row>
    <row r="17">
      <c r="A17" t="n">
        <v>20016</v>
      </c>
      <c r="B17" t="inlineStr">
        <is>
          <t>Bogotá</t>
        </is>
      </c>
      <c r="C17" t="inlineStr">
        <is>
          <t>Calle 53 #16-9</t>
        </is>
      </c>
      <c r="D17" t="n">
        <v>11211</v>
      </c>
      <c r="E17" t="n">
        <v>1005</v>
      </c>
    </row>
    <row r="18">
      <c r="A18" t="n">
        <v>20017</v>
      </c>
      <c r="B18" t="inlineStr">
        <is>
          <t>Bogotá</t>
        </is>
      </c>
      <c r="C18" t="inlineStr">
        <is>
          <t>Calle 2 #8-30</t>
        </is>
      </c>
      <c r="D18" t="n">
        <v>21111</v>
      </c>
      <c r="E18" t="n">
        <v>1004</v>
      </c>
    </row>
    <row r="19">
      <c r="A19" t="n">
        <v>20018</v>
      </c>
      <c r="B19" t="inlineStr">
        <is>
          <t>Madrid</t>
        </is>
      </c>
      <c r="C19" t="inlineStr">
        <is>
          <t>Calle 72 #25-29</t>
        </is>
      </c>
      <c r="D19" t="n">
        <v>11112</v>
      </c>
      <c r="E19" t="n">
        <v>1008</v>
      </c>
    </row>
    <row r="20">
      <c r="A20" t="n">
        <v>20019</v>
      </c>
      <c r="B20" t="inlineStr">
        <is>
          <t>Shinjuku</t>
        </is>
      </c>
      <c r="C20" t="inlineStr">
        <is>
          <t>Calle 17 #54-42</t>
        </is>
      </c>
      <c r="D20" t="n">
        <v>21111</v>
      </c>
      <c r="E20" t="n">
        <v>1004</v>
      </c>
    </row>
    <row r="21">
      <c r="A21" t="n">
        <v>20020</v>
      </c>
      <c r="B21" t="inlineStr">
        <is>
          <t>Envigado</t>
        </is>
      </c>
      <c r="C21" t="inlineStr">
        <is>
          <t>Calle 54 #28-1</t>
        </is>
      </c>
      <c r="D21" t="n">
        <v>11111</v>
      </c>
      <c r="E21" t="n">
        <v>1007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2026-03-02T19:00:55Z</dcterms:created>
  <dcterms:modified xmlns:dcterms="http://purl.org/dc/terms/" xmlns:xsi="http://www.w3.org/2001/XMLSchema-instance" xsi:type="dcterms:W3CDTF">2026-03-02T19:00:55Z</dcterms:modified>
</cp:coreProperties>
</file>